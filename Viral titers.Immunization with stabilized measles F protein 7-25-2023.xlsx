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iewiesk.1\Desktop\F protein paper materials\"/>
    </mc:Choice>
  </mc:AlternateContent>
  <bookViews>
    <workbookView xWindow="2832" yWindow="1176" windowWidth="21600" windowHeight="11292"/>
  </bookViews>
  <sheets>
    <sheet name="Averages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N11" i="4"/>
  <c r="K11" i="4"/>
  <c r="H11" i="4"/>
  <c r="E11" i="4"/>
  <c r="B11" i="4"/>
  <c r="Q9" i="4"/>
  <c r="N9" i="4"/>
  <c r="K9" i="4"/>
  <c r="H9" i="4"/>
  <c r="E9" i="4"/>
  <c r="B9" i="4"/>
</calcChain>
</file>

<file path=xl/sharedStrings.xml><?xml version="1.0" encoding="utf-8"?>
<sst xmlns="http://schemas.openxmlformats.org/spreadsheetml/2006/main" count="14" uniqueCount="9">
  <si>
    <t>Lung</t>
  </si>
  <si>
    <t>Averages</t>
  </si>
  <si>
    <t>Standard Deviation</t>
  </si>
  <si>
    <t xml:space="preserve">FFL2M </t>
  </si>
  <si>
    <t>FFL3M</t>
  </si>
  <si>
    <t>FFL5M</t>
  </si>
  <si>
    <t>Fecto2M</t>
  </si>
  <si>
    <t>PBS/alumn</t>
  </si>
  <si>
    <t>Edmonston-Zaghreb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</si>
</sst>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E1" workbookViewId="0">
      <selection activeCell="P26" sqref="P26"/>
    </sheetView>
  </sheetViews>
  <sheetFormatPr defaultRowHeight="14.4" x14ac:dyDescent="0.3"/>
  <sheetData>
    <row r="1" spans="1:17" x14ac:dyDescent="0.3">
      <c r="A1" s="6" t="s">
        <v>3</v>
      </c>
      <c r="B1" s="6"/>
      <c r="D1" s="6" t="s">
        <v>4</v>
      </c>
      <c r="E1" s="6"/>
      <c r="G1" s="6" t="s">
        <v>5</v>
      </c>
      <c r="H1" s="6"/>
      <c r="J1" s="6" t="s">
        <v>6</v>
      </c>
      <c r="K1" s="6"/>
      <c r="M1" s="6" t="s">
        <v>7</v>
      </c>
      <c r="N1" s="6"/>
      <c r="P1" s="6" t="s">
        <v>8</v>
      </c>
      <c r="Q1" s="6"/>
    </row>
    <row r="2" spans="1:17" x14ac:dyDescent="0.3">
      <c r="A2" s="1"/>
      <c r="B2" s="1" t="s">
        <v>0</v>
      </c>
      <c r="E2" s="1" t="s">
        <v>0</v>
      </c>
      <c r="G2" s="1"/>
      <c r="H2" s="1" t="s">
        <v>0</v>
      </c>
      <c r="I2" s="1"/>
      <c r="K2" s="1" t="s">
        <v>0</v>
      </c>
      <c r="N2" s="1" t="s">
        <v>0</v>
      </c>
      <c r="Q2" s="1" t="s">
        <v>0</v>
      </c>
    </row>
    <row r="3" spans="1:17" x14ac:dyDescent="0.3">
      <c r="A3" s="1">
        <v>1.1000000000000001</v>
      </c>
      <c r="B3" s="2">
        <v>1.7</v>
      </c>
      <c r="D3" s="1">
        <v>2.6</v>
      </c>
      <c r="E3" s="2">
        <v>1.7</v>
      </c>
      <c r="G3" s="1">
        <v>3.11</v>
      </c>
      <c r="H3" s="2">
        <v>1.7</v>
      </c>
      <c r="J3" s="1">
        <v>4.16</v>
      </c>
      <c r="K3" s="2">
        <v>2.42</v>
      </c>
      <c r="M3" s="1">
        <v>5.21</v>
      </c>
      <c r="N3" s="2">
        <v>4.22</v>
      </c>
      <c r="P3" s="1">
        <v>6.26</v>
      </c>
      <c r="Q3" s="2">
        <v>1.7</v>
      </c>
    </row>
    <row r="4" spans="1:17" x14ac:dyDescent="0.3">
      <c r="A4" s="1">
        <v>1.2</v>
      </c>
      <c r="B4" s="2">
        <v>1.7</v>
      </c>
      <c r="D4" s="1">
        <v>2.7</v>
      </c>
      <c r="E4" s="2">
        <v>1.7</v>
      </c>
      <c r="G4" s="3">
        <v>3.12</v>
      </c>
      <c r="H4" s="2">
        <v>1.7</v>
      </c>
      <c r="J4" s="1">
        <v>4.17</v>
      </c>
      <c r="K4" s="2">
        <v>1.7</v>
      </c>
      <c r="M4" s="1">
        <v>5.22</v>
      </c>
      <c r="N4" s="2">
        <v>3.7</v>
      </c>
      <c r="P4" s="1">
        <v>6.27</v>
      </c>
      <c r="Q4" s="2">
        <v>1.7</v>
      </c>
    </row>
    <row r="5" spans="1:17" x14ac:dyDescent="0.3">
      <c r="A5" s="1">
        <v>1.3</v>
      </c>
      <c r="B5" s="2">
        <v>2.67</v>
      </c>
      <c r="D5" s="1">
        <v>2.8</v>
      </c>
      <c r="E5" s="2">
        <v>1.7</v>
      </c>
      <c r="G5" s="1">
        <v>3.13</v>
      </c>
      <c r="H5" s="2">
        <v>1.7</v>
      </c>
      <c r="J5" s="1">
        <v>4.18</v>
      </c>
      <c r="K5" s="2">
        <v>1.7</v>
      </c>
      <c r="M5" s="1">
        <v>5.23</v>
      </c>
      <c r="N5" s="2">
        <v>3.71</v>
      </c>
      <c r="P5" s="1">
        <v>6.28</v>
      </c>
      <c r="Q5" s="2">
        <v>1.7</v>
      </c>
    </row>
    <row r="6" spans="1:17" x14ac:dyDescent="0.3">
      <c r="A6" s="1">
        <v>1.4</v>
      </c>
      <c r="B6" s="2">
        <v>4.55</v>
      </c>
      <c r="D6" s="1">
        <v>2.9</v>
      </c>
      <c r="E6" s="2">
        <v>1.7</v>
      </c>
      <c r="G6" s="1">
        <v>3.14</v>
      </c>
      <c r="H6" s="2">
        <v>1.7</v>
      </c>
      <c r="J6" s="1">
        <v>4.1900000000000004</v>
      </c>
      <c r="K6" s="2">
        <v>1.7</v>
      </c>
      <c r="M6" s="3">
        <v>5.24</v>
      </c>
      <c r="N6" s="2">
        <v>4.5199999999999996</v>
      </c>
      <c r="P6" s="1">
        <v>6.29</v>
      </c>
      <c r="Q6" s="2">
        <v>1.7</v>
      </c>
    </row>
    <row r="7" spans="1:17" x14ac:dyDescent="0.3">
      <c r="A7" s="1">
        <v>1.5</v>
      </c>
      <c r="B7" s="2">
        <v>3.03</v>
      </c>
      <c r="D7" s="3">
        <v>2.1</v>
      </c>
      <c r="E7" s="2">
        <v>1.7</v>
      </c>
      <c r="G7" s="1">
        <v>3.15</v>
      </c>
      <c r="H7" s="2">
        <v>1.7</v>
      </c>
      <c r="J7" s="3">
        <v>4.2</v>
      </c>
      <c r="K7" s="2">
        <v>1.7</v>
      </c>
      <c r="M7" s="1"/>
      <c r="N7" s="2"/>
      <c r="P7" s="3">
        <v>6.3</v>
      </c>
      <c r="Q7" s="2">
        <v>1.7</v>
      </c>
    </row>
    <row r="8" spans="1:17" x14ac:dyDescent="0.3">
      <c r="E8" s="1"/>
    </row>
    <row r="9" spans="1:17" x14ac:dyDescent="0.3">
      <c r="A9" s="1" t="s">
        <v>1</v>
      </c>
      <c r="B9" s="2">
        <f>AVERAGE(B3:B7)</f>
        <v>2.73</v>
      </c>
      <c r="E9" s="2">
        <f>AVERAGE(E3:E7)</f>
        <v>1.7</v>
      </c>
      <c r="H9" s="2">
        <f>AVERAGE(H3:H7)</f>
        <v>1.7</v>
      </c>
      <c r="K9" s="2">
        <f>AVERAGE(K3:K7)</f>
        <v>1.8440000000000001</v>
      </c>
      <c r="N9" s="2">
        <f>AVERAGE(N3:N7)</f>
        <v>4.0374999999999996</v>
      </c>
      <c r="Q9" s="2">
        <f>AVERAGE(Q3:Q7)</f>
        <v>1.7</v>
      </c>
    </row>
    <row r="10" spans="1:17" x14ac:dyDescent="0.3">
      <c r="B10" s="2"/>
      <c r="E10" s="2"/>
      <c r="H10" s="2"/>
      <c r="K10" s="2"/>
    </row>
    <row r="11" spans="1:17" ht="53.4" x14ac:dyDescent="0.3">
      <c r="A11" s="4" t="s">
        <v>2</v>
      </c>
      <c r="B11" s="2">
        <f>STDEV(B3:B7)</f>
        <v>1.1755636945737982</v>
      </c>
      <c r="E11" s="2">
        <f>STDEV(E3:E7)</f>
        <v>0</v>
      </c>
      <c r="H11" s="2">
        <f>STDEV(H3:H7)</f>
        <v>0</v>
      </c>
      <c r="K11" s="2">
        <f>STDEV(K3:K7)</f>
        <v>0.32199378875996937</v>
      </c>
      <c r="N11" s="2">
        <f>STDEV(N3:N7)</f>
        <v>0.40301985062773249</v>
      </c>
      <c r="O11" s="5"/>
      <c r="Q11" s="2">
        <f>STDEV(Q3:Q7)</f>
        <v>0</v>
      </c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Leedale, Cameron</dc:creator>
  <cp:keywords/>
  <dc:description/>
  <cp:lastModifiedBy>Niewiesk, Stefan</cp:lastModifiedBy>
  <cp:revision/>
  <dcterms:created xsi:type="dcterms:W3CDTF">2022-04-07T18:46:53Z</dcterms:created>
  <dcterms:modified xsi:type="dcterms:W3CDTF">2023-11-27T15:10:47Z</dcterms:modified>
  <cp:category/>
  <cp:contentStatus/>
</cp:coreProperties>
</file>